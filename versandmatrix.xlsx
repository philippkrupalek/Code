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rsandmatrix" sheetId="1" state="visible" r:id="rId3"/>
    <sheet name="Mailpakete" sheetId="2" state="visible" r:id="rId4"/>
    <sheet name="Platzhalter" sheetId="3" state="visible" r:id="rId5"/>
    <sheet name="Offene_Punkte" sheetId="4" state="visible" r:id="rId6"/>
  </sheets>
  <definedNames>
    <definedName function="false" hidden="true" localSheetId="0" name="_xlnm._FilterDatabase" vbProcedure="false">Versandmatrix!$A$1:$I$48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<sst xmlns="http://schemas.openxmlformats.org/spreadsheetml/2006/main" count="531" uniqueCount="194">
  <si>
    <t xml:space="preserve">mail_id</t>
  </si>
  <si>
    <t xml:space="preserve">bank</t>
  </si>
  <si>
    <t xml:space="preserve">bank_key</t>
  </si>
  <si>
    <t xml:space="preserve">empfaengergruppe</t>
  </si>
  <si>
    <t xml:space="preserve">dateityp</t>
  </si>
  <si>
    <t xml:space="preserve">dateimuster</t>
  </si>
  <si>
    <t xml:space="preserve">pflicht</t>
  </si>
  <si>
    <t xml:space="preserve">quelle</t>
  </si>
  <si>
    <t xml:space="preserve">hinweis</t>
  </si>
  <si>
    <t xml:space="preserve">APO_STANDARD</t>
  </si>
  <si>
    <t xml:space="preserve">Österreichische Ärzte- und Apothekerbank AG</t>
  </si>
  <si>
    <t xml:space="preserve">APO</t>
  </si>
  <si>
    <t xml:space="preserve">Verteiler_APO</t>
  </si>
  <si>
    <t xml:space="preserve">Gesamtbank</t>
  </si>
  <si>
    <t xml:space="preserve">Gesamtbank__APO__{MM}-{JJJJ}.pdf</t>
  </si>
  <si>
    <t xml:space="preserve">Ja</t>
  </si>
  <si>
    <t xml:space="preserve">Marvin-Skript (Tableau-PDF)</t>
  </si>
  <si>
    <t xml:space="preserve">Kommerzkunden</t>
  </si>
  <si>
    <t xml:space="preserve">Kommerzkunden__APO__{MM}-{JJJJ}.pdf</t>
  </si>
  <si>
    <t xml:space="preserve">Management Summary</t>
  </si>
  <si>
    <t xml:space="preserve">Management Summary {MONAT} {JJJJ}.xlsx</t>
  </si>
  <si>
    <t xml:space="preserve">zentral, manuell erstellt</t>
  </si>
  <si>
    <t xml:space="preserve">Sparplanreporting</t>
  </si>
  <si>
    <t xml:space="preserve">Sparplanreporting {MONAT} {JJJJ}_Ärzte- und Apothekerbank.xlsx</t>
  </si>
  <si>
    <t xml:space="preserve">Kollege, Ablage Ordner</t>
  </si>
  <si>
    <t xml:space="preserve">K_STANDARD</t>
  </si>
  <si>
    <t xml:space="preserve">Volksbank Kärnten eG</t>
  </si>
  <si>
    <t xml:space="preserve">K</t>
  </si>
  <si>
    <t xml:space="preserve">Verteiler_K_Standard</t>
  </si>
  <si>
    <t xml:space="preserve">Gesamtbank__K__{MM}-{JJJJ}.pdf</t>
  </si>
  <si>
    <t xml:space="preserve">Bereich</t>
  </si>
  <si>
    <t xml:space="preserve">Bereich_1__K__{MM}-{JJJJ}.pdf</t>
  </si>
  <si>
    <t xml:space="preserve">Bereich_2__K__{MM}-{JJJJ}.pdf</t>
  </si>
  <si>
    <t xml:space="preserve">Sparplanreporting {MONAT} {JJJJ}_VB Kärnten.xlsx</t>
  </si>
  <si>
    <t xml:space="preserve">K_BD1</t>
  </si>
  <si>
    <t xml:space="preserve">Verteiler_K_BD1</t>
  </si>
  <si>
    <t xml:space="preserve">BD1 Details</t>
  </si>
  <si>
    <t xml:space="preserve">BD1_Details__K__{MM}-{JJJJ}.pdf</t>
  </si>
  <si>
    <t xml:space="preserve">Eigene Mail, anderer Empfängerkreis</t>
  </si>
  <si>
    <t xml:space="preserve">NOE_STANDARD</t>
  </si>
  <si>
    <t xml:space="preserve">Volksbank Niederösterreich AG</t>
  </si>
  <si>
    <t xml:space="preserve">NOE</t>
  </si>
  <si>
    <t xml:space="preserve">Verteiler_NOE_Standard</t>
  </si>
  <si>
    <t xml:space="preserve">Gesamtbank__NOE__{MM}-{JJJJ}.pdf</t>
  </si>
  <si>
    <t xml:space="preserve">Regionen</t>
  </si>
  <si>
    <t xml:space="preserve">Regionen_I-X__NOE__{MM}-{JJJJ}.pdf</t>
  </si>
  <si>
    <t xml:space="preserve">Eine Datei, nicht zehn</t>
  </si>
  <si>
    <t xml:space="preserve">Sparplanreporting {MONAT} {JJJJ}_VB Niederösterreich.xlsx</t>
  </si>
  <si>
    <t xml:space="preserve">NOE_NH</t>
  </si>
  <si>
    <t xml:space="preserve">Verteiler_NOE_NH</t>
  </si>
  <si>
    <t xml:space="preserve">NH-Reporting</t>
  </si>
  <si>
    <t xml:space="preserve">{STICHTAG} NH-Auswertung_NAKO__VB_NOE.xlsb</t>
  </si>
  <si>
    <t xml:space="preserve">BO-Export (WebIntelligence)</t>
  </si>
  <si>
    <t xml:space="preserve">Eigene Mail nur für NH-Reporting; .xlsb, nicht .xlsx</t>
  </si>
  <si>
    <t xml:space="preserve">OOE_STANDARD</t>
  </si>
  <si>
    <t xml:space="preserve">Volksbank Oberösterreich AG</t>
  </si>
  <si>
    <t xml:space="preserve">OOE</t>
  </si>
  <si>
    <t xml:space="preserve">Verteiler_OOE_Standard</t>
  </si>
  <si>
    <t xml:space="preserve">Gesamtbank__OOE__{MM}-{JJJJ}.pdf</t>
  </si>
  <si>
    <t xml:space="preserve">Region</t>
  </si>
  <si>
    <t xml:space="preserve">Region_1__OOE__{MM}-{JJJJ}.pdf</t>
  </si>
  <si>
    <t xml:space="preserve">Region_2__OOE__{MM}-{JJJJ}.pdf</t>
  </si>
  <si>
    <t xml:space="preserve">Region_3__OOE__{MM}-{JJJJ}.pdf</t>
  </si>
  <si>
    <t xml:space="preserve">Sparplanreporting {MONAT} {JJJJ}_VB Oberösterreich.xlsx</t>
  </si>
  <si>
    <t xml:space="preserve">S_STANDARD</t>
  </si>
  <si>
    <t xml:space="preserve">Volksbank Salzburg eG</t>
  </si>
  <si>
    <t xml:space="preserve">S</t>
  </si>
  <si>
    <t xml:space="preserve">Verteiler_S_Standard</t>
  </si>
  <si>
    <t xml:space="preserve">Gesamtbank__S__{MM}-{JJJJ}.pdf</t>
  </si>
  <si>
    <t xml:space="preserve">Sparplanreporting {MONAT} {JJJJ}_VB Salzburg.xlsx</t>
  </si>
  <si>
    <t xml:space="preserve">S_MGMT</t>
  </si>
  <si>
    <t xml:space="preserve">Verteiler_S_Management</t>
  </si>
  <si>
    <t xml:space="preserve">Eigene Mail, nur Management Summary</t>
  </si>
  <si>
    <t xml:space="preserve">ST_STANDARD</t>
  </si>
  <si>
    <t xml:space="preserve">Volksbank Steiermark AG</t>
  </si>
  <si>
    <t xml:space="preserve">ST</t>
  </si>
  <si>
    <t xml:space="preserve">Verteiler_ST_Standard</t>
  </si>
  <si>
    <t xml:space="preserve">Gesamtbank__ST__{MM}-{JJJJ}.pdf</t>
  </si>
  <si>
    <t xml:space="preserve">Kommerzkunden__ST__{MM}-{JJJJ}.pdf</t>
  </si>
  <si>
    <t xml:space="preserve">ST_DEPOTS</t>
  </si>
  <si>
    <t xml:space="preserve">Verteiler_ST_Depots</t>
  </si>
  <si>
    <t xml:space="preserve">Aufgelöste Depots</t>
  </si>
  <si>
    <t xml:space="preserve">{STICHTAG} aufgelöste Depots_Tableau.xlsx</t>
  </si>
  <si>
    <t xml:space="preserve">Tableau-Export manuell</t>
  </si>
  <si>
    <t xml:space="preserve">Eigene Mail</t>
  </si>
  <si>
    <t xml:space="preserve">ST_CONTROLLING</t>
  </si>
  <si>
    <t xml:space="preserve">Verteiler_ST_Controlling</t>
  </si>
  <si>
    <t xml:space="preserve">Controllingdaten</t>
  </si>
  <si>
    <t xml:space="preserve">Controllingdaten_komplett_STMK_{MM}_{JJJJ}.xlsx</t>
  </si>
  <si>
    <t xml:space="preserve">Online-Download</t>
  </si>
  <si>
    <t xml:space="preserve">Rohdaten Ansparpläne</t>
  </si>
  <si>
    <t xml:space="preserve">Rohdatenbericht Ansparpläne STMK NEU {STICHTAG}.xlsx</t>
  </si>
  <si>
    <t xml:space="preserve">Sparplanreporting {MONAT} {JJJJ}_VB Steiermark.xlsx</t>
  </si>
  <si>
    <t xml:space="preserve">T_STANDARD</t>
  </si>
  <si>
    <t xml:space="preserve">Volksbank Tirol</t>
  </si>
  <si>
    <t xml:space="preserve">T</t>
  </si>
  <si>
    <t xml:space="preserve">Verteiler_T_Standard</t>
  </si>
  <si>
    <t xml:space="preserve">Gesamtbank__T__{MM}-{JJJJ}.pdf</t>
  </si>
  <si>
    <t xml:space="preserve">Kommerzkunden__T__{MM}-{JJJJ}.pdf</t>
  </si>
  <si>
    <t xml:space="preserve">Sparplanreporting {MONAT} {JJJJ}_VB Tirol.xlsx</t>
  </si>
  <si>
    <t xml:space="preserve">V_MGMT</t>
  </si>
  <si>
    <t xml:space="preserve">Volksbank Vorarlberg e Gen</t>
  </si>
  <si>
    <t xml:space="preserve">V</t>
  </si>
  <si>
    <t xml:space="preserve">Verteiler_V_Management</t>
  </si>
  <si>
    <t xml:space="preserve">V_KOMMERZ</t>
  </si>
  <si>
    <t xml:space="preserve">Verteiler_V_Kommerz</t>
  </si>
  <si>
    <t xml:space="preserve">Kommerzkunden__V__{MM}-{JJJJ}.pdf</t>
  </si>
  <si>
    <t xml:space="preserve">W_MGMT</t>
  </si>
  <si>
    <t xml:space="preserve">VOLKSBANK WIEN AG</t>
  </si>
  <si>
    <t xml:space="preserve">W</t>
  </si>
  <si>
    <t xml:space="preserve">Verteiler_W_Management</t>
  </si>
  <si>
    <t xml:space="preserve">Management Summary (PDF)</t>
  </si>
  <si>
    <t xml:space="preserve">VB Wien AG Management Summary {MONAT} {JJJJ}.pdf</t>
  </si>
  <si>
    <t xml:space="preserve">OFFEN: anderer Dateiname als in W_STANDARD - zwei Dateien oder Tippfehler?</t>
  </si>
  <si>
    <t xml:space="preserve">Gesamtbank__W__{MM}-{JJJJ}.pdf</t>
  </si>
  <si>
    <t xml:space="preserve">W_STANDARD</t>
  </si>
  <si>
    <t xml:space="preserve">Verteiler_W_Standard</t>
  </si>
  <si>
    <t xml:space="preserve">Gleiches PDF wie in W_MGMT</t>
  </si>
  <si>
    <t xml:space="preserve">Sparplanreporting {MONAT} {JJJJ}_VB Wien.xlsx</t>
  </si>
  <si>
    <t xml:space="preserve">Management Summary {MONAT} {JJJJ}.pdf</t>
  </si>
  <si>
    <t xml:space="preserve">12-MSV Depot</t>
  </si>
  <si>
    <t xml:space="preserve">Volumensbetrachtung_VB Wien AG - 12-MSV und Veränderungen pro Depot ex ERGO Österreich Stand {MM}.{JJJJ}.xlsx</t>
  </si>
  <si>
    <t xml:space="preserve">Dateiname aus Chat rekonstruiert - bitte am Original prüfen</t>
  </si>
  <si>
    <t xml:space="preserve">12-MSV Filiale</t>
  </si>
  <si>
    <t xml:space="preserve">Volumensbetrachtung_VB Wien AG 12-MSV nach Filiale inkl. ERGO_Österreich Stand {MM}.xlsx</t>
  </si>
  <si>
    <t xml:space="preserve">Hier nur {MM} ohne Jahr - bitte am Original prüfen</t>
  </si>
  <si>
    <t xml:space="preserve">W_NH</t>
  </si>
  <si>
    <t xml:space="preserve">Verteiler_W_NH</t>
  </si>
  <si>
    <t xml:space="preserve">Vertriebscontrolling</t>
  </si>
  <si>
    <t xml:space="preserve">UIA Vertriebscontrolling Stand {WORKBOOK_DATUM}</t>
  </si>
  <si>
    <t xml:space="preserve">OFFEN: Anhang oder nur Betreff-Bezug? Endung unbekannt</t>
  </si>
  <si>
    <t xml:space="preserve">NH-Reporting (Link)</t>
  </si>
  <si>
    <t xml:space="preserve">-- kein Anhang, Download-Link --</t>
  </si>
  <si>
    <t xml:space="preserve">Datei zu gross fuer Mail: Link statt Anhang versenden</t>
  </si>
  <si>
    <t xml:space="preserve">anzahl_pflichtdateien</t>
  </si>
  <si>
    <t xml:space="preserve">empfaenger_eintragen</t>
  </si>
  <si>
    <t xml:space="preserve">Summe Mailpakete</t>
  </si>
  <si>
    <t xml:space="preserve">Gelb = von Dir zu befüllen. Empfängergruppen sind Platzhalter, echte Adressen gehören NICHT in den Code.</t>
  </si>
  <si>
    <t xml:space="preserve">Platzhalter</t>
  </si>
  <si>
    <t xml:space="preserve">Bedeutung</t>
  </si>
  <si>
    <t xml:space="preserve">Beispiel Juli 2026</t>
  </si>
  <si>
    <t xml:space="preserve">Beispiel August 2026</t>
  </si>
  <si>
    <t xml:space="preserve">{MM}</t>
  </si>
  <si>
    <t xml:space="preserve">Berichtsmonat, zweistellig</t>
  </si>
  <si>
    <t xml:space="preserve">07</t>
  </si>
  <si>
    <t xml:space="preserve">08</t>
  </si>
  <si>
    <t xml:space="preserve">{JJJJ}</t>
  </si>
  <si>
    <t xml:space="preserve">Berichtsjahr, vierstellig</t>
  </si>
  <si>
    <t xml:space="preserve">2026</t>
  </si>
  <si>
    <t xml:space="preserve">{MONAT}</t>
  </si>
  <si>
    <t xml:space="preserve">Berichtsmonat ausgeschrieben (deutsch)</t>
  </si>
  <si>
    <t xml:space="preserve">Juli</t>
  </si>
  <si>
    <t xml:space="preserve">August</t>
  </si>
  <si>
    <t xml:space="preserve">{STICHTAG}</t>
  </si>
  <si>
    <t xml:space="preserve">Monatsletzter des Berichtsmonats, JJJJMMTT</t>
  </si>
  <si>
    <t xml:space="preserve">20260731</t>
  </si>
  <si>
    <t xml:space="preserve">20260831</t>
  </si>
  <si>
    <t xml:space="preserve">{WORKBOOK_DATUM}</t>
  </si>
  <si>
    <t xml:space="preserve">Datum im Tableau-Workbooknamen (Folgemonat)</t>
  </si>
  <si>
    <t xml:space="preserve">10.08.2026</t>
  </si>
  <si>
    <t xml:space="preserve">10.09.2026</t>
  </si>
  <si>
    <t xml:space="preserve">Wichtig: der Berichtsmonat ist NICHT der Laufmonat.</t>
  </si>
  <si>
    <t xml:space="preserve">Marvins getSuffix() zieht vom Workbook-Datum einen Monat ab:</t>
  </si>
  <si>
    <t xml:space="preserve">Workbook 'UIA Vertriebscontrolling Stand 10.08.2026' -&gt; Suffix __07-2026.</t>
  </si>
  <si>
    <t xml:space="preserve">Ein Skript sollte den Berichtsmonat als Eingabe nehmen und alles daraus ableiten.</t>
  </si>
  <si>
    <t xml:space="preserve">Thema</t>
  </si>
  <si>
    <t xml:space="preserve">Punkt</t>
  </si>
  <si>
    <t xml:space="preserve">Status</t>
  </si>
  <si>
    <t xml:space="preserve">Nicht zugeordnete PDFs</t>
  </si>
  <si>
    <t xml:space="preserve">Kärnten: Kommerzkunden__K__, RD_1__K__, RD_2__K__ - in keiner Mail</t>
  </si>
  <si>
    <t xml:space="preserve">offen</t>
  </si>
  <si>
    <t xml:space="preserve">Salzburg: Kommerzkunden__S__ - in keiner Mail</t>
  </si>
  <si>
    <t xml:space="preserve">Oberösterreich: Kommerzkunden__OOE__ - in keiner Mail</t>
  </si>
  <si>
    <t xml:space="preserve">Niederösterreich: Kommerzkunden__NOE__ - in keiner Mail</t>
  </si>
  <si>
    <t xml:space="preserve">Vorarlberg: Gesamtbank__V__, Private_Banking__V__, Privatkunden__V__</t>
  </si>
  <si>
    <t xml:space="preserve">Wien: Kommerzkunden__W__ und alle 7 RD-PDFs (Baden, Horn, Sparda, Südburgenland, Weinviertel, Wien, Wiener Neustadt)</t>
  </si>
  <si>
    <t xml:space="preserve">Anzahl Mails</t>
  </si>
  <si>
    <t xml:space="preserve">Matrix ergibt 17 Mailpakete, Schätzung war ca. 20 - fehlen noch Mails?</t>
  </si>
  <si>
    <t xml:space="preserve">Wien</t>
  </si>
  <si>
    <t xml:space="preserve">Zwei Management-Summary-PDFs mit verschiedenen Namen (W_MGMT vs W_STANDARD) - zwei Dateien oder Tippfehler?</t>
  </si>
  <si>
    <t xml:space="preserve">W_MGMT und W_STANDARD enthalten beide Gesamtbank__W__ - beabsichtigt?</t>
  </si>
  <si>
    <t xml:space="preserve">Wien NH</t>
  </si>
  <si>
    <t xml:space="preserve">'UIA Vertriebscontrolling Stand 10.08.2026' - Anhang oder nur Betreff? Dateiendung?</t>
  </si>
  <si>
    <t xml:space="preserve">Wien 12-MSV</t>
  </si>
  <si>
    <t xml:space="preserve">Exakte Dateinamen der beiden Volumensbetrachtungen am Original prüfen</t>
  </si>
  <si>
    <t xml:space="preserve">Empfänger</t>
  </si>
  <si>
    <t xml:space="preserve">Alle Verteiler sind Platzhalter - echte Gruppen eintragen (Spalte E auf Blatt Mailpakete)</t>
  </si>
  <si>
    <t xml:space="preserve">Ablage</t>
  </si>
  <si>
    <t xml:space="preserve">Wo genau liegen Sparplanreportings, Online-Downloads und BO-Exports? Pfade fehlen noch</t>
  </si>
  <si>
    <t xml:space="preserve">Gesamtbank-Inhalt</t>
  </si>
  <si>
    <t xml:space="preserve">Gesamtbank__W__ enthält laut Log bereits alle RD-Abschnitte - RD-PDFs sind Teilmengen</t>
  </si>
  <si>
    <t xml:space="preserve">Info</t>
  </si>
  <si>
    <t xml:space="preserve">Log-Zuordnung</t>
  </si>
  <si>
    <t xml:space="preserve">Log-Dateiname (Gesamtbank_W_07-2026) weicht vom PDF-Namen (Gesamtbank__W__07-2026) ab - Zuordnung über Feld 'report' im Log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</si>
</sst>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34"/>
    <col collapsed="false" customWidth="true" hidden="false" outlineLevel="0" max="3" min="3" style="1" width="10"/>
    <col collapsed="false" customWidth="true" hidden="false" outlineLevel="0" max="4" min="4" style="1" width="24"/>
    <col collapsed="false" customWidth="true" hidden="false" outlineLevel="0" max="5" min="5" style="1" width="22"/>
    <col collapsed="false" customWidth="true" hidden="false" outlineLevel="0" max="6" min="6" style="1" width="62"/>
    <col collapsed="false" customWidth="true" hidden="false" outlineLevel="0" max="7" min="7" style="1" width="8"/>
    <col collapsed="false" customWidth="true" hidden="false" outlineLevel="0" max="8" min="8" style="1" width="26"/>
    <col collapsed="false" customWidth="true" hidden="false" outlineLevel="0" max="9" min="9" style="1" width="52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23.25" hidden="false" customHeight="true" outlineLevel="0" collapsed="false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/>
    </row>
    <row r="3" customFormat="false" ht="23.25" hidden="false" customHeight="true" outlineLevel="0" collapsed="false">
      <c r="A3" s="3" t="s">
        <v>9</v>
      </c>
      <c r="B3" s="3" t="s">
        <v>10</v>
      </c>
      <c r="C3" s="3" t="s">
        <v>11</v>
      </c>
      <c r="D3" s="3" t="s">
        <v>12</v>
      </c>
      <c r="E3" s="3" t="s">
        <v>17</v>
      </c>
      <c r="F3" s="3" t="s">
        <v>18</v>
      </c>
      <c r="G3" s="3" t="s">
        <v>15</v>
      </c>
      <c r="H3" s="3" t="s">
        <v>16</v>
      </c>
      <c r="I3" s="3"/>
    </row>
    <row r="4" customFormat="false" ht="23.25" hidden="false" customHeight="true" outlineLevel="0" collapsed="false">
      <c r="A4" s="3" t="s">
        <v>9</v>
      </c>
      <c r="B4" s="3" t="s">
        <v>10</v>
      </c>
      <c r="C4" s="3" t="s">
        <v>11</v>
      </c>
      <c r="D4" s="3" t="s">
        <v>12</v>
      </c>
      <c r="E4" s="3" t="s">
        <v>19</v>
      </c>
      <c r="F4" s="3" t="s">
        <v>20</v>
      </c>
      <c r="G4" s="3" t="s">
        <v>15</v>
      </c>
      <c r="H4" s="3" t="s">
        <v>21</v>
      </c>
      <c r="I4" s="3"/>
    </row>
    <row r="5" customFormat="false" ht="23.25" hidden="false" customHeight="true" outlineLevel="0" collapsed="false">
      <c r="A5" s="3" t="s">
        <v>9</v>
      </c>
      <c r="B5" s="3" t="s">
        <v>10</v>
      </c>
      <c r="C5" s="3" t="s">
        <v>11</v>
      </c>
      <c r="D5" s="3" t="s">
        <v>12</v>
      </c>
      <c r="E5" s="3" t="s">
        <v>22</v>
      </c>
      <c r="F5" s="3" t="s">
        <v>23</v>
      </c>
      <c r="G5" s="3" t="s">
        <v>15</v>
      </c>
      <c r="H5" s="3" t="s">
        <v>24</v>
      </c>
      <c r="I5" s="3"/>
    </row>
    <row r="6" customFormat="false" ht="15" hidden="false" customHeight="true" outlineLevel="0" collapsed="false">
      <c r="A6" s="4" t="s">
        <v>25</v>
      </c>
      <c r="B6" s="4" t="s">
        <v>26</v>
      </c>
      <c r="C6" s="4" t="s">
        <v>27</v>
      </c>
      <c r="D6" s="4" t="s">
        <v>28</v>
      </c>
      <c r="E6" s="4" t="s">
        <v>13</v>
      </c>
      <c r="F6" s="4" t="s">
        <v>29</v>
      </c>
      <c r="G6" s="4" t="s">
        <v>15</v>
      </c>
      <c r="H6" s="4" t="s">
        <v>16</v>
      </c>
      <c r="I6" s="4"/>
    </row>
    <row r="7" customFormat="false" ht="15" hidden="false" customHeight="true" outlineLevel="0" collapsed="false">
      <c r="A7" s="4" t="s">
        <v>25</v>
      </c>
      <c r="B7" s="4" t="s">
        <v>26</v>
      </c>
      <c r="C7" s="4" t="s">
        <v>27</v>
      </c>
      <c r="D7" s="4" t="s">
        <v>28</v>
      </c>
      <c r="E7" s="4" t="s">
        <v>30</v>
      </c>
      <c r="F7" s="4" t="s">
        <v>31</v>
      </c>
      <c r="G7" s="4" t="s">
        <v>15</v>
      </c>
      <c r="H7" s="4" t="s">
        <v>16</v>
      </c>
      <c r="I7" s="4"/>
    </row>
    <row r="8" customFormat="false" ht="15" hidden="false" customHeight="true" outlineLevel="0" collapsed="false">
      <c r="A8" s="4" t="s">
        <v>25</v>
      </c>
      <c r="B8" s="4" t="s">
        <v>26</v>
      </c>
      <c r="C8" s="4" t="s">
        <v>27</v>
      </c>
      <c r="D8" s="4" t="s">
        <v>28</v>
      </c>
      <c r="E8" s="4" t="s">
        <v>30</v>
      </c>
      <c r="F8" s="4" t="s">
        <v>32</v>
      </c>
      <c r="G8" s="4" t="s">
        <v>15</v>
      </c>
      <c r="H8" s="4" t="s">
        <v>16</v>
      </c>
      <c r="I8" s="4"/>
    </row>
    <row r="9" customFormat="false" ht="15" hidden="false" customHeight="true" outlineLevel="0" collapsed="false">
      <c r="A9" s="4" t="s">
        <v>25</v>
      </c>
      <c r="B9" s="4" t="s">
        <v>26</v>
      </c>
      <c r="C9" s="4" t="s">
        <v>27</v>
      </c>
      <c r="D9" s="4" t="s">
        <v>28</v>
      </c>
      <c r="E9" s="4" t="s">
        <v>19</v>
      </c>
      <c r="F9" s="4" t="s">
        <v>20</v>
      </c>
      <c r="G9" s="4" t="s">
        <v>15</v>
      </c>
      <c r="H9" s="4" t="s">
        <v>21</v>
      </c>
      <c r="I9" s="4"/>
    </row>
    <row r="10" customFormat="false" ht="15" hidden="false" customHeight="true" outlineLevel="0" collapsed="false">
      <c r="A10" s="4" t="s">
        <v>25</v>
      </c>
      <c r="B10" s="4" t="s">
        <v>26</v>
      </c>
      <c r="C10" s="4" t="s">
        <v>27</v>
      </c>
      <c r="D10" s="4" t="s">
        <v>28</v>
      </c>
      <c r="E10" s="4" t="s">
        <v>22</v>
      </c>
      <c r="F10" s="4" t="s">
        <v>33</v>
      </c>
      <c r="G10" s="4" t="s">
        <v>15</v>
      </c>
      <c r="H10" s="4" t="s">
        <v>24</v>
      </c>
      <c r="I10" s="4"/>
    </row>
    <row r="11" customFormat="false" ht="15" hidden="false" customHeight="true" outlineLevel="0" collapsed="false">
      <c r="A11" s="3" t="s">
        <v>34</v>
      </c>
      <c r="B11" s="3" t="s">
        <v>26</v>
      </c>
      <c r="C11" s="3" t="s">
        <v>27</v>
      </c>
      <c r="D11" s="3" t="s">
        <v>35</v>
      </c>
      <c r="E11" s="3" t="s">
        <v>36</v>
      </c>
      <c r="F11" s="3" t="s">
        <v>37</v>
      </c>
      <c r="G11" s="3" t="s">
        <v>15</v>
      </c>
      <c r="H11" s="3" t="s">
        <v>16</v>
      </c>
      <c r="I11" s="3" t="s">
        <v>38</v>
      </c>
    </row>
    <row r="12" customFormat="false" ht="15" hidden="false" customHeight="true" outlineLevel="0" collapsed="false">
      <c r="A12" s="4" t="s">
        <v>39</v>
      </c>
      <c r="B12" s="4" t="s">
        <v>40</v>
      </c>
      <c r="C12" s="4" t="s">
        <v>41</v>
      </c>
      <c r="D12" s="4" t="s">
        <v>42</v>
      </c>
      <c r="E12" s="4" t="s">
        <v>13</v>
      </c>
      <c r="F12" s="4" t="s">
        <v>43</v>
      </c>
      <c r="G12" s="4" t="s">
        <v>15</v>
      </c>
      <c r="H12" s="4" t="s">
        <v>16</v>
      </c>
      <c r="I12" s="4"/>
    </row>
    <row r="13" customFormat="false" ht="15" hidden="false" customHeight="true" outlineLevel="0" collapsed="false">
      <c r="A13" s="4" t="s">
        <v>39</v>
      </c>
      <c r="B13" s="4" t="s">
        <v>40</v>
      </c>
      <c r="C13" s="4" t="s">
        <v>41</v>
      </c>
      <c r="D13" s="4" t="s">
        <v>42</v>
      </c>
      <c r="E13" s="4" t="s">
        <v>44</v>
      </c>
      <c r="F13" s="4" t="s">
        <v>45</v>
      </c>
      <c r="G13" s="4" t="s">
        <v>15</v>
      </c>
      <c r="H13" s="4" t="s">
        <v>16</v>
      </c>
      <c r="I13" s="4" t="s">
        <v>46</v>
      </c>
    </row>
    <row r="14" customFormat="false" ht="15" hidden="false" customHeight="true" outlineLevel="0" collapsed="false">
      <c r="A14" s="4" t="s">
        <v>39</v>
      </c>
      <c r="B14" s="4" t="s">
        <v>40</v>
      </c>
      <c r="C14" s="4" t="s">
        <v>41</v>
      </c>
      <c r="D14" s="4" t="s">
        <v>42</v>
      </c>
      <c r="E14" s="4" t="s">
        <v>19</v>
      </c>
      <c r="F14" s="4" t="s">
        <v>20</v>
      </c>
      <c r="G14" s="4" t="s">
        <v>15</v>
      </c>
      <c r="H14" s="4" t="s">
        <v>21</v>
      </c>
      <c r="I14" s="4"/>
    </row>
    <row r="15" customFormat="false" ht="15" hidden="false" customHeight="true" outlineLevel="0" collapsed="false">
      <c r="A15" s="4" t="s">
        <v>39</v>
      </c>
      <c r="B15" s="4" t="s">
        <v>40</v>
      </c>
      <c r="C15" s="4" t="s">
        <v>41</v>
      </c>
      <c r="D15" s="4" t="s">
        <v>42</v>
      </c>
      <c r="E15" s="4" t="s">
        <v>22</v>
      </c>
      <c r="F15" s="4" t="s">
        <v>47</v>
      </c>
      <c r="G15" s="4" t="s">
        <v>15</v>
      </c>
      <c r="H15" s="4" t="s">
        <v>24</v>
      </c>
      <c r="I15" s="4"/>
    </row>
    <row r="16" customFormat="false" ht="15" hidden="false" customHeight="true" outlineLevel="0" collapsed="false">
      <c r="A16" s="3" t="s">
        <v>48</v>
      </c>
      <c r="B16" s="3" t="s">
        <v>40</v>
      </c>
      <c r="C16" s="3" t="s">
        <v>41</v>
      </c>
      <c r="D16" s="3" t="s">
        <v>49</v>
      </c>
      <c r="E16" s="3" t="s">
        <v>50</v>
      </c>
      <c r="F16" s="3" t="s">
        <v>51</v>
      </c>
      <c r="G16" s="3" t="s">
        <v>15</v>
      </c>
      <c r="H16" s="3" t="s">
        <v>52</v>
      </c>
      <c r="I16" s="3" t="s">
        <v>53</v>
      </c>
    </row>
    <row r="17" customFormat="false" ht="15" hidden="false" customHeight="true" outlineLevel="0" collapsed="false">
      <c r="A17" s="4" t="s">
        <v>54</v>
      </c>
      <c r="B17" s="4" t="s">
        <v>55</v>
      </c>
      <c r="C17" s="4" t="s">
        <v>56</v>
      </c>
      <c r="D17" s="4" t="s">
        <v>57</v>
      </c>
      <c r="E17" s="4" t="s">
        <v>13</v>
      </c>
      <c r="F17" s="4" t="s">
        <v>58</v>
      </c>
      <c r="G17" s="4" t="s">
        <v>15</v>
      </c>
      <c r="H17" s="4" t="s">
        <v>16</v>
      </c>
      <c r="I17" s="4"/>
    </row>
    <row r="18" customFormat="false" ht="15" hidden="false" customHeight="true" outlineLevel="0" collapsed="false">
      <c r="A18" s="4" t="s">
        <v>54</v>
      </c>
      <c r="B18" s="4" t="s">
        <v>55</v>
      </c>
      <c r="C18" s="4" t="s">
        <v>56</v>
      </c>
      <c r="D18" s="4" t="s">
        <v>57</v>
      </c>
      <c r="E18" s="4" t="s">
        <v>59</v>
      </c>
      <c r="F18" s="4" t="s">
        <v>60</v>
      </c>
      <c r="G18" s="4" t="s">
        <v>15</v>
      </c>
      <c r="H18" s="4" t="s">
        <v>16</v>
      </c>
      <c r="I18" s="4"/>
    </row>
    <row r="19" customFormat="false" ht="15" hidden="false" customHeight="true" outlineLevel="0" collapsed="false">
      <c r="A19" s="4" t="s">
        <v>54</v>
      </c>
      <c r="B19" s="4" t="s">
        <v>55</v>
      </c>
      <c r="C19" s="4" t="s">
        <v>56</v>
      </c>
      <c r="D19" s="4" t="s">
        <v>57</v>
      </c>
      <c r="E19" s="4" t="s">
        <v>59</v>
      </c>
      <c r="F19" s="4" t="s">
        <v>61</v>
      </c>
      <c r="G19" s="4" t="s">
        <v>15</v>
      </c>
      <c r="H19" s="4" t="s">
        <v>16</v>
      </c>
      <c r="I19" s="4"/>
    </row>
    <row r="20" customFormat="false" ht="15" hidden="false" customHeight="true" outlineLevel="0" collapsed="false">
      <c r="A20" s="4" t="s">
        <v>54</v>
      </c>
      <c r="B20" s="4" t="s">
        <v>55</v>
      </c>
      <c r="C20" s="4" t="s">
        <v>56</v>
      </c>
      <c r="D20" s="4" t="s">
        <v>57</v>
      </c>
      <c r="E20" s="4" t="s">
        <v>59</v>
      </c>
      <c r="F20" s="4" t="s">
        <v>62</v>
      </c>
      <c r="G20" s="4" t="s">
        <v>15</v>
      </c>
      <c r="H20" s="4" t="s">
        <v>16</v>
      </c>
      <c r="I20" s="4"/>
    </row>
    <row r="21" customFormat="false" ht="15" hidden="false" customHeight="true" outlineLevel="0" collapsed="false">
      <c r="A21" s="4" t="s">
        <v>54</v>
      </c>
      <c r="B21" s="4" t="s">
        <v>55</v>
      </c>
      <c r="C21" s="4" t="s">
        <v>56</v>
      </c>
      <c r="D21" s="4" t="s">
        <v>57</v>
      </c>
      <c r="E21" s="4" t="s">
        <v>19</v>
      </c>
      <c r="F21" s="4" t="s">
        <v>20</v>
      </c>
      <c r="G21" s="4" t="s">
        <v>15</v>
      </c>
      <c r="H21" s="4" t="s">
        <v>21</v>
      </c>
      <c r="I21" s="4"/>
    </row>
    <row r="22" customFormat="false" ht="15" hidden="false" customHeight="true" outlineLevel="0" collapsed="false">
      <c r="A22" s="4" t="s">
        <v>54</v>
      </c>
      <c r="B22" s="4" t="s">
        <v>55</v>
      </c>
      <c r="C22" s="4" t="s">
        <v>56</v>
      </c>
      <c r="D22" s="4" t="s">
        <v>57</v>
      </c>
      <c r="E22" s="4" t="s">
        <v>22</v>
      </c>
      <c r="F22" s="4" t="s">
        <v>63</v>
      </c>
      <c r="G22" s="4" t="s">
        <v>15</v>
      </c>
      <c r="H22" s="4" t="s">
        <v>24</v>
      </c>
      <c r="I22" s="4"/>
    </row>
    <row r="23" customFormat="false" ht="15" hidden="false" customHeight="true" outlineLevel="0" collapsed="false">
      <c r="A23" s="3" t="s">
        <v>64</v>
      </c>
      <c r="B23" s="3" t="s">
        <v>65</v>
      </c>
      <c r="C23" s="3" t="s">
        <v>66</v>
      </c>
      <c r="D23" s="3" t="s">
        <v>67</v>
      </c>
      <c r="E23" s="3" t="s">
        <v>13</v>
      </c>
      <c r="F23" s="3" t="s">
        <v>68</v>
      </c>
      <c r="G23" s="3" t="s">
        <v>15</v>
      </c>
      <c r="H23" s="3" t="s">
        <v>16</v>
      </c>
      <c r="I23" s="3"/>
    </row>
    <row r="24" customFormat="false" ht="15" hidden="false" customHeight="true" outlineLevel="0" collapsed="false">
      <c r="A24" s="3" t="s">
        <v>64</v>
      </c>
      <c r="B24" s="3" t="s">
        <v>65</v>
      </c>
      <c r="C24" s="3" t="s">
        <v>66</v>
      </c>
      <c r="D24" s="3" t="s">
        <v>67</v>
      </c>
      <c r="E24" s="3" t="s">
        <v>22</v>
      </c>
      <c r="F24" s="3" t="s">
        <v>69</v>
      </c>
      <c r="G24" s="3" t="s">
        <v>15</v>
      </c>
      <c r="H24" s="3" t="s">
        <v>24</v>
      </c>
      <c r="I24" s="3"/>
    </row>
    <row r="25" customFormat="false" ht="15" hidden="false" customHeight="true" outlineLevel="0" collapsed="false">
      <c r="A25" s="4" t="s">
        <v>70</v>
      </c>
      <c r="B25" s="4" t="s">
        <v>65</v>
      </c>
      <c r="C25" s="4" t="s">
        <v>66</v>
      </c>
      <c r="D25" s="4" t="s">
        <v>71</v>
      </c>
      <c r="E25" s="4" t="s">
        <v>19</v>
      </c>
      <c r="F25" s="4" t="s">
        <v>20</v>
      </c>
      <c r="G25" s="4" t="s">
        <v>15</v>
      </c>
      <c r="H25" s="4" t="s">
        <v>21</v>
      </c>
      <c r="I25" s="4" t="s">
        <v>72</v>
      </c>
    </row>
    <row r="26" customFormat="false" ht="15" hidden="false" customHeight="true" outlineLevel="0" collapsed="false">
      <c r="A26" s="3" t="s">
        <v>73</v>
      </c>
      <c r="B26" s="3" t="s">
        <v>74</v>
      </c>
      <c r="C26" s="3" t="s">
        <v>75</v>
      </c>
      <c r="D26" s="3" t="s">
        <v>76</v>
      </c>
      <c r="E26" s="3" t="s">
        <v>13</v>
      </c>
      <c r="F26" s="3" t="s">
        <v>77</v>
      </c>
      <c r="G26" s="3" t="s">
        <v>15</v>
      </c>
      <c r="H26" s="3" t="s">
        <v>16</v>
      </c>
      <c r="I26" s="3"/>
    </row>
    <row r="27" customFormat="false" ht="15" hidden="false" customHeight="true" outlineLevel="0" collapsed="false">
      <c r="A27" s="3" t="s">
        <v>73</v>
      </c>
      <c r="B27" s="3" t="s">
        <v>74</v>
      </c>
      <c r="C27" s="3" t="s">
        <v>75</v>
      </c>
      <c r="D27" s="3" t="s">
        <v>76</v>
      </c>
      <c r="E27" s="3" t="s">
        <v>17</v>
      </c>
      <c r="F27" s="3" t="s">
        <v>78</v>
      </c>
      <c r="G27" s="3" t="s">
        <v>15</v>
      </c>
      <c r="H27" s="3" t="s">
        <v>16</v>
      </c>
      <c r="I27" s="3"/>
    </row>
    <row r="28" customFormat="false" ht="15" hidden="false" customHeight="true" outlineLevel="0" collapsed="false">
      <c r="A28" s="3" t="s">
        <v>73</v>
      </c>
      <c r="B28" s="3" t="s">
        <v>74</v>
      </c>
      <c r="C28" s="3" t="s">
        <v>75</v>
      </c>
      <c r="D28" s="3" t="s">
        <v>76</v>
      </c>
      <c r="E28" s="3" t="s">
        <v>19</v>
      </c>
      <c r="F28" s="3" t="s">
        <v>20</v>
      </c>
      <c r="G28" s="3" t="s">
        <v>15</v>
      </c>
      <c r="H28" s="3" t="s">
        <v>21</v>
      </c>
      <c r="I28" s="3"/>
    </row>
    <row r="29" customFormat="false" ht="15" hidden="false" customHeight="true" outlineLevel="0" collapsed="false">
      <c r="A29" s="4" t="s">
        <v>79</v>
      </c>
      <c r="B29" s="4" t="s">
        <v>74</v>
      </c>
      <c r="C29" s="4" t="s">
        <v>75</v>
      </c>
      <c r="D29" s="4" t="s">
        <v>80</v>
      </c>
      <c r="E29" s="4" t="s">
        <v>81</v>
      </c>
      <c r="F29" s="4" t="s">
        <v>82</v>
      </c>
      <c r="G29" s="4" t="s">
        <v>15</v>
      </c>
      <c r="H29" s="4" t="s">
        <v>83</v>
      </c>
      <c r="I29" s="4" t="s">
        <v>84</v>
      </c>
    </row>
    <row r="30" customFormat="false" ht="15" hidden="false" customHeight="true" outlineLevel="0" collapsed="false">
      <c r="A30" s="3" t="s">
        <v>85</v>
      </c>
      <c r="B30" s="3" t="s">
        <v>74</v>
      </c>
      <c r="C30" s="3" t="s">
        <v>75</v>
      </c>
      <c r="D30" s="3" t="s">
        <v>86</v>
      </c>
      <c r="E30" s="3" t="s">
        <v>87</v>
      </c>
      <c r="F30" s="3" t="s">
        <v>88</v>
      </c>
      <c r="G30" s="3" t="s">
        <v>15</v>
      </c>
      <c r="H30" s="3" t="s">
        <v>89</v>
      </c>
      <c r="I30" s="3"/>
    </row>
    <row r="31" customFormat="false" ht="15" hidden="false" customHeight="true" outlineLevel="0" collapsed="false">
      <c r="A31" s="3" t="s">
        <v>85</v>
      </c>
      <c r="B31" s="3" t="s">
        <v>74</v>
      </c>
      <c r="C31" s="3" t="s">
        <v>75</v>
      </c>
      <c r="D31" s="3" t="s">
        <v>86</v>
      </c>
      <c r="E31" s="3" t="s">
        <v>90</v>
      </c>
      <c r="F31" s="3" t="s">
        <v>91</v>
      </c>
      <c r="G31" s="3" t="s">
        <v>15</v>
      </c>
      <c r="H31" s="3" t="s">
        <v>52</v>
      </c>
      <c r="I31" s="3"/>
    </row>
    <row r="32" customFormat="false" ht="15" hidden="false" customHeight="true" outlineLevel="0" collapsed="false">
      <c r="A32" s="3" t="s">
        <v>85</v>
      </c>
      <c r="B32" s="3" t="s">
        <v>74</v>
      </c>
      <c r="C32" s="3" t="s">
        <v>75</v>
      </c>
      <c r="D32" s="3" t="s">
        <v>86</v>
      </c>
      <c r="E32" s="3" t="s">
        <v>22</v>
      </c>
      <c r="F32" s="3" t="s">
        <v>92</v>
      </c>
      <c r="G32" s="3" t="s">
        <v>15</v>
      </c>
      <c r="H32" s="3" t="s">
        <v>24</v>
      </c>
      <c r="I32" s="3"/>
    </row>
    <row r="33" customFormat="false" ht="15" hidden="false" customHeight="true" outlineLevel="0" collapsed="false">
      <c r="A33" s="4" t="s">
        <v>93</v>
      </c>
      <c r="B33" s="4" t="s">
        <v>94</v>
      </c>
      <c r="C33" s="4" t="s">
        <v>95</v>
      </c>
      <c r="D33" s="4" t="s">
        <v>96</v>
      </c>
      <c r="E33" s="4" t="s">
        <v>13</v>
      </c>
      <c r="F33" s="4" t="s">
        <v>97</v>
      </c>
      <c r="G33" s="4" t="s">
        <v>15</v>
      </c>
      <c r="H33" s="4" t="s">
        <v>16</v>
      </c>
      <c r="I33" s="4"/>
    </row>
    <row r="34" customFormat="false" ht="15" hidden="false" customHeight="true" outlineLevel="0" collapsed="false">
      <c r="A34" s="4" t="s">
        <v>93</v>
      </c>
      <c r="B34" s="4" t="s">
        <v>94</v>
      </c>
      <c r="C34" s="4" t="s">
        <v>95</v>
      </c>
      <c r="D34" s="4" t="s">
        <v>96</v>
      </c>
      <c r="E34" s="4" t="s">
        <v>17</v>
      </c>
      <c r="F34" s="4" t="s">
        <v>98</v>
      </c>
      <c r="G34" s="4" t="s">
        <v>15</v>
      </c>
      <c r="H34" s="4" t="s">
        <v>16</v>
      </c>
      <c r="I34" s="4"/>
    </row>
    <row r="35" customFormat="false" ht="15" hidden="false" customHeight="true" outlineLevel="0" collapsed="false">
      <c r="A35" s="4" t="s">
        <v>93</v>
      </c>
      <c r="B35" s="4" t="s">
        <v>94</v>
      </c>
      <c r="C35" s="4" t="s">
        <v>95</v>
      </c>
      <c r="D35" s="4" t="s">
        <v>96</v>
      </c>
      <c r="E35" s="4" t="s">
        <v>19</v>
      </c>
      <c r="F35" s="4" t="s">
        <v>20</v>
      </c>
      <c r="G35" s="4" t="s">
        <v>15</v>
      </c>
      <c r="H35" s="4" t="s">
        <v>21</v>
      </c>
      <c r="I35" s="4"/>
    </row>
    <row r="36" customFormat="false" ht="15" hidden="false" customHeight="true" outlineLevel="0" collapsed="false">
      <c r="A36" s="4" t="s">
        <v>93</v>
      </c>
      <c r="B36" s="4" t="s">
        <v>94</v>
      </c>
      <c r="C36" s="4" t="s">
        <v>95</v>
      </c>
      <c r="D36" s="4" t="s">
        <v>96</v>
      </c>
      <c r="E36" s="4" t="s">
        <v>22</v>
      </c>
      <c r="F36" s="4" t="s">
        <v>99</v>
      </c>
      <c r="G36" s="4" t="s">
        <v>15</v>
      </c>
      <c r="H36" s="4" t="s">
        <v>24</v>
      </c>
      <c r="I36" s="4"/>
    </row>
    <row r="37" customFormat="false" ht="15" hidden="false" customHeight="true" outlineLevel="0" collapsed="false">
      <c r="A37" s="3" t="s">
        <v>100</v>
      </c>
      <c r="B37" s="3" t="s">
        <v>101</v>
      </c>
      <c r="C37" s="3" t="s">
        <v>102</v>
      </c>
      <c r="D37" s="3" t="s">
        <v>103</v>
      </c>
      <c r="E37" s="3" t="s">
        <v>19</v>
      </c>
      <c r="F37" s="3" t="s">
        <v>20</v>
      </c>
      <c r="G37" s="3" t="s">
        <v>15</v>
      </c>
      <c r="H37" s="3" t="s">
        <v>21</v>
      </c>
      <c r="I37" s="3"/>
    </row>
    <row r="38" customFormat="false" ht="15" hidden="false" customHeight="true" outlineLevel="0" collapsed="false">
      <c r="A38" s="4" t="s">
        <v>104</v>
      </c>
      <c r="B38" s="4" t="s">
        <v>101</v>
      </c>
      <c r="C38" s="4" t="s">
        <v>102</v>
      </c>
      <c r="D38" s="4" t="s">
        <v>105</v>
      </c>
      <c r="E38" s="4" t="s">
        <v>17</v>
      </c>
      <c r="F38" s="4" t="s">
        <v>106</v>
      </c>
      <c r="G38" s="4" t="s">
        <v>15</v>
      </c>
      <c r="H38" s="4" t="s">
        <v>16</v>
      </c>
      <c r="I38" s="4" t="s">
        <v>38</v>
      </c>
    </row>
    <row r="39" customFormat="false" ht="23.25" hidden="false" customHeight="true" outlineLevel="0" collapsed="false">
      <c r="A39" s="3" t="s">
        <v>107</v>
      </c>
      <c r="B39" s="3" t="s">
        <v>108</v>
      </c>
      <c r="C39" s="3" t="s">
        <v>109</v>
      </c>
      <c r="D39" s="3" t="s">
        <v>110</v>
      </c>
      <c r="E39" s="3" t="s">
        <v>111</v>
      </c>
      <c r="F39" s="3" t="s">
        <v>112</v>
      </c>
      <c r="G39" s="3" t="s">
        <v>15</v>
      </c>
      <c r="H39" s="3" t="s">
        <v>21</v>
      </c>
      <c r="I39" s="3" t="s">
        <v>113</v>
      </c>
    </row>
    <row r="40" customFormat="false" ht="15" hidden="false" customHeight="true" outlineLevel="0" collapsed="false">
      <c r="A40" s="3" t="s">
        <v>107</v>
      </c>
      <c r="B40" s="3" t="s">
        <v>108</v>
      </c>
      <c r="C40" s="3" t="s">
        <v>109</v>
      </c>
      <c r="D40" s="3" t="s">
        <v>110</v>
      </c>
      <c r="E40" s="3" t="s">
        <v>13</v>
      </c>
      <c r="F40" s="3" t="s">
        <v>114</v>
      </c>
      <c r="G40" s="3" t="s">
        <v>15</v>
      </c>
      <c r="H40" s="3" t="s">
        <v>16</v>
      </c>
      <c r="I40" s="3"/>
    </row>
    <row r="41" customFormat="false" ht="15" hidden="false" customHeight="true" outlineLevel="0" collapsed="false">
      <c r="A41" s="3" t="s">
        <v>107</v>
      </c>
      <c r="B41" s="3" t="s">
        <v>108</v>
      </c>
      <c r="C41" s="3" t="s">
        <v>109</v>
      </c>
      <c r="D41" s="3" t="s">
        <v>110</v>
      </c>
      <c r="E41" s="3" t="s">
        <v>19</v>
      </c>
      <c r="F41" s="3" t="s">
        <v>20</v>
      </c>
      <c r="G41" s="3" t="s">
        <v>15</v>
      </c>
      <c r="H41" s="3" t="s">
        <v>21</v>
      </c>
      <c r="I41" s="3"/>
    </row>
    <row r="42" customFormat="false" ht="15" hidden="false" customHeight="true" outlineLevel="0" collapsed="false">
      <c r="A42" s="4" t="s">
        <v>115</v>
      </c>
      <c r="B42" s="4" t="s">
        <v>108</v>
      </c>
      <c r="C42" s="4" t="s">
        <v>109</v>
      </c>
      <c r="D42" s="4" t="s">
        <v>116</v>
      </c>
      <c r="E42" s="4" t="s">
        <v>13</v>
      </c>
      <c r="F42" s="4" t="s">
        <v>114</v>
      </c>
      <c r="G42" s="4" t="s">
        <v>15</v>
      </c>
      <c r="H42" s="4" t="s">
        <v>16</v>
      </c>
      <c r="I42" s="4" t="s">
        <v>117</v>
      </c>
    </row>
    <row r="43" customFormat="false" ht="15" hidden="false" customHeight="true" outlineLevel="0" collapsed="false">
      <c r="A43" s="4" t="s">
        <v>115</v>
      </c>
      <c r="B43" s="4" t="s">
        <v>108</v>
      </c>
      <c r="C43" s="4" t="s">
        <v>109</v>
      </c>
      <c r="D43" s="4" t="s">
        <v>116</v>
      </c>
      <c r="E43" s="4" t="s">
        <v>22</v>
      </c>
      <c r="F43" s="4" t="s">
        <v>118</v>
      </c>
      <c r="G43" s="4" t="s">
        <v>15</v>
      </c>
      <c r="H43" s="4" t="s">
        <v>24</v>
      </c>
      <c r="I43" s="4"/>
    </row>
    <row r="44" customFormat="false" ht="23.25" hidden="false" customHeight="true" outlineLevel="0" collapsed="false">
      <c r="A44" s="4" t="s">
        <v>115</v>
      </c>
      <c r="B44" s="4" t="s">
        <v>108</v>
      </c>
      <c r="C44" s="4" t="s">
        <v>109</v>
      </c>
      <c r="D44" s="4" t="s">
        <v>116</v>
      </c>
      <c r="E44" s="4" t="s">
        <v>111</v>
      </c>
      <c r="F44" s="4" t="s">
        <v>119</v>
      </c>
      <c r="G44" s="4" t="s">
        <v>15</v>
      </c>
      <c r="H44" s="4" t="s">
        <v>21</v>
      </c>
      <c r="I44" s="4"/>
    </row>
    <row r="45" customFormat="false" ht="23.25" hidden="false" customHeight="true" outlineLevel="0" collapsed="false">
      <c r="A45" s="4" t="s">
        <v>115</v>
      </c>
      <c r="B45" s="4" t="s">
        <v>108</v>
      </c>
      <c r="C45" s="4" t="s">
        <v>109</v>
      </c>
      <c r="D45" s="4" t="s">
        <v>116</v>
      </c>
      <c r="E45" s="4" t="s">
        <v>120</v>
      </c>
      <c r="F45" s="4" t="s">
        <v>121</v>
      </c>
      <c r="G45" s="4" t="s">
        <v>15</v>
      </c>
      <c r="H45" s="4" t="s">
        <v>89</v>
      </c>
      <c r="I45" s="4" t="s">
        <v>122</v>
      </c>
    </row>
    <row r="46" customFormat="false" ht="23.25" hidden="false" customHeight="true" outlineLevel="0" collapsed="false">
      <c r="A46" s="4" t="s">
        <v>115</v>
      </c>
      <c r="B46" s="4" t="s">
        <v>108</v>
      </c>
      <c r="C46" s="4" t="s">
        <v>109</v>
      </c>
      <c r="D46" s="4" t="s">
        <v>116</v>
      </c>
      <c r="E46" s="4" t="s">
        <v>123</v>
      </c>
      <c r="F46" s="4" t="s">
        <v>124</v>
      </c>
      <c r="G46" s="4" t="s">
        <v>15</v>
      </c>
      <c r="H46" s="4" t="s">
        <v>89</v>
      </c>
      <c r="I46" s="4" t="s">
        <v>125</v>
      </c>
    </row>
    <row r="47" customFormat="false" ht="15" hidden="false" customHeight="true" outlineLevel="0" collapsed="false">
      <c r="A47" s="3" t="s">
        <v>126</v>
      </c>
      <c r="B47" s="3" t="s">
        <v>108</v>
      </c>
      <c r="C47" s="3" t="s">
        <v>109</v>
      </c>
      <c r="D47" s="3" t="s">
        <v>127</v>
      </c>
      <c r="E47" s="3" t="s">
        <v>128</v>
      </c>
      <c r="F47" s="3" t="s">
        <v>129</v>
      </c>
      <c r="G47" s="3" t="s">
        <v>15</v>
      </c>
      <c r="H47" s="3" t="s">
        <v>16</v>
      </c>
      <c r="I47" s="3" t="s">
        <v>130</v>
      </c>
    </row>
    <row r="48" customFormat="false" ht="15" hidden="false" customHeight="true" outlineLevel="0" collapsed="false">
      <c r="A48" s="3" t="s">
        <v>126</v>
      </c>
      <c r="B48" s="3" t="s">
        <v>108</v>
      </c>
      <c r="C48" s="3" t="s">
        <v>109</v>
      </c>
      <c r="D48" s="3" t="s">
        <v>127</v>
      </c>
      <c r="E48" s="3" t="s">
        <v>131</v>
      </c>
      <c r="F48" s="3" t="s">
        <v>132</v>
      </c>
      <c r="G48" s="3" t="s">
        <v>15</v>
      </c>
      <c r="H48" s="3" t="s">
        <v>89</v>
      </c>
      <c r="I48" s="3" t="s">
        <v>133</v>
      </c>
    </row>
  </sheetData>
  <autoFilter ref="A1:I4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34"/>
    <col collapsed="false" customWidth="true" hidden="false" outlineLevel="0" max="3" min="3" style="1" width="26"/>
    <col collapsed="false" customWidth="true" hidden="false" outlineLevel="0" max="4" min="4" style="1" width="22"/>
    <col collapsed="false" customWidth="true" hidden="false" outlineLevel="0" max="5" min="5" style="1" width="46"/>
  </cols>
  <sheetData>
    <row r="1" customFormat="false" ht="15" hidden="false" customHeight="true" outlineLevel="0" collapsed="false">
      <c r="A1" s="5" t="s">
        <v>0</v>
      </c>
      <c r="B1" s="5" t="s">
        <v>1</v>
      </c>
      <c r="C1" s="5" t="s">
        <v>3</v>
      </c>
      <c r="D1" s="5" t="s">
        <v>134</v>
      </c>
      <c r="E1" s="5" t="s">
        <v>135</v>
      </c>
    </row>
    <row r="2" customFormat="false" ht="15" hidden="false" customHeight="true" outlineLevel="0" collapsed="false">
      <c r="A2" s="6" t="s">
        <v>9</v>
      </c>
      <c r="B2" s="6" t="s">
        <v>10</v>
      </c>
      <c r="C2" s="6" t="s">
        <v>12</v>
      </c>
      <c r="D2" s="6" t="n">
        <f aca="false">COUNTIFS(Versandmatrix!$A$2:$A$48,$A2,Versandmatrix!$G$2:$G$48,"Ja")</f>
        <v>4</v>
      </c>
      <c r="E2" s="7"/>
    </row>
    <row r="3" customFormat="false" ht="15" hidden="false" customHeight="true" outlineLevel="0" collapsed="false">
      <c r="A3" s="6" t="s">
        <v>25</v>
      </c>
      <c r="B3" s="6" t="s">
        <v>26</v>
      </c>
      <c r="C3" s="6" t="s">
        <v>28</v>
      </c>
      <c r="D3" s="6" t="n">
        <f aca="false">COUNTIFS(Versandmatrix!$A$2:$A$48,$A3,Versandmatrix!$G$2:$G$48,"Ja")</f>
        <v>5</v>
      </c>
      <c r="E3" s="7"/>
    </row>
    <row r="4" customFormat="false" ht="15" hidden="false" customHeight="true" outlineLevel="0" collapsed="false">
      <c r="A4" s="6" t="s">
        <v>34</v>
      </c>
      <c r="B4" s="6" t="s">
        <v>26</v>
      </c>
      <c r="C4" s="6" t="s">
        <v>35</v>
      </c>
      <c r="D4" s="6" t="n">
        <f aca="false">COUNTIFS(Versandmatrix!$A$2:$A$48,$A4,Versandmatrix!$G$2:$G$48,"Ja")</f>
        <v>1</v>
      </c>
      <c r="E4" s="7"/>
    </row>
    <row r="5" customFormat="false" ht="15" hidden="false" customHeight="true" outlineLevel="0" collapsed="false">
      <c r="A5" s="6" t="s">
        <v>39</v>
      </c>
      <c r="B5" s="6" t="s">
        <v>40</v>
      </c>
      <c r="C5" s="6" t="s">
        <v>42</v>
      </c>
      <c r="D5" s="6" t="n">
        <f aca="false">COUNTIFS(Versandmatrix!$A$2:$A$48,$A5,Versandmatrix!$G$2:$G$48,"Ja")</f>
        <v>4</v>
      </c>
      <c r="E5" s="7"/>
    </row>
    <row r="6" customFormat="false" ht="15" hidden="false" customHeight="true" outlineLevel="0" collapsed="false">
      <c r="A6" s="6" t="s">
        <v>48</v>
      </c>
      <c r="B6" s="6" t="s">
        <v>40</v>
      </c>
      <c r="C6" s="6" t="s">
        <v>49</v>
      </c>
      <c r="D6" s="6" t="n">
        <f aca="false">COUNTIFS(Versandmatrix!$A$2:$A$48,$A6,Versandmatrix!$G$2:$G$48,"Ja")</f>
        <v>1</v>
      </c>
      <c r="E6" s="7"/>
    </row>
    <row r="7" customFormat="false" ht="15" hidden="false" customHeight="true" outlineLevel="0" collapsed="false">
      <c r="A7" s="6" t="s">
        <v>54</v>
      </c>
      <c r="B7" s="6" t="s">
        <v>55</v>
      </c>
      <c r="C7" s="6" t="s">
        <v>57</v>
      </c>
      <c r="D7" s="6" t="n">
        <f aca="false">COUNTIFS(Versandmatrix!$A$2:$A$48,$A7,Versandmatrix!$G$2:$G$48,"Ja")</f>
        <v>6</v>
      </c>
      <c r="E7" s="7"/>
    </row>
    <row r="8" customFormat="false" ht="15" hidden="false" customHeight="true" outlineLevel="0" collapsed="false">
      <c r="A8" s="6" t="s">
        <v>64</v>
      </c>
      <c r="B8" s="6" t="s">
        <v>65</v>
      </c>
      <c r="C8" s="6" t="s">
        <v>67</v>
      </c>
      <c r="D8" s="6" t="n">
        <f aca="false">COUNTIFS(Versandmatrix!$A$2:$A$48,$A8,Versandmatrix!$G$2:$G$48,"Ja")</f>
        <v>2</v>
      </c>
      <c r="E8" s="7"/>
    </row>
    <row r="9" customFormat="false" ht="15" hidden="false" customHeight="true" outlineLevel="0" collapsed="false">
      <c r="A9" s="6" t="s">
        <v>70</v>
      </c>
      <c r="B9" s="6" t="s">
        <v>65</v>
      </c>
      <c r="C9" s="6" t="s">
        <v>71</v>
      </c>
      <c r="D9" s="6" t="n">
        <f aca="false">COUNTIFS(Versandmatrix!$A$2:$A$48,$A9,Versandmatrix!$G$2:$G$48,"Ja")</f>
        <v>1</v>
      </c>
      <c r="E9" s="7"/>
    </row>
    <row r="10" customFormat="false" ht="15" hidden="false" customHeight="true" outlineLevel="0" collapsed="false">
      <c r="A10" s="6" t="s">
        <v>73</v>
      </c>
      <c r="B10" s="6" t="s">
        <v>74</v>
      </c>
      <c r="C10" s="6" t="s">
        <v>76</v>
      </c>
      <c r="D10" s="6" t="n">
        <f aca="false">COUNTIFS(Versandmatrix!$A$2:$A$48,$A10,Versandmatrix!$G$2:$G$48,"Ja")</f>
        <v>3</v>
      </c>
      <c r="E10" s="7"/>
    </row>
    <row r="11" customFormat="false" ht="15" hidden="false" customHeight="true" outlineLevel="0" collapsed="false">
      <c r="A11" s="6" t="s">
        <v>79</v>
      </c>
      <c r="B11" s="6" t="s">
        <v>74</v>
      </c>
      <c r="C11" s="6" t="s">
        <v>80</v>
      </c>
      <c r="D11" s="6" t="n">
        <f aca="false">COUNTIFS(Versandmatrix!$A$2:$A$48,$A11,Versandmatrix!$G$2:$G$48,"Ja")</f>
        <v>1</v>
      </c>
      <c r="E11" s="7"/>
    </row>
    <row r="12" customFormat="false" ht="15" hidden="false" customHeight="true" outlineLevel="0" collapsed="false">
      <c r="A12" s="6" t="s">
        <v>85</v>
      </c>
      <c r="B12" s="6" t="s">
        <v>74</v>
      </c>
      <c r="C12" s="6" t="s">
        <v>86</v>
      </c>
      <c r="D12" s="6" t="n">
        <f aca="false">COUNTIFS(Versandmatrix!$A$2:$A$48,$A12,Versandmatrix!$G$2:$G$48,"Ja")</f>
        <v>3</v>
      </c>
      <c r="E12" s="7"/>
    </row>
    <row r="13" customFormat="false" ht="15" hidden="false" customHeight="true" outlineLevel="0" collapsed="false">
      <c r="A13" s="6" t="s">
        <v>93</v>
      </c>
      <c r="B13" s="6" t="s">
        <v>94</v>
      </c>
      <c r="C13" s="6" t="s">
        <v>96</v>
      </c>
      <c r="D13" s="6" t="n">
        <f aca="false">COUNTIFS(Versandmatrix!$A$2:$A$48,$A13,Versandmatrix!$G$2:$G$48,"Ja")</f>
        <v>4</v>
      </c>
      <c r="E13" s="7"/>
    </row>
    <row r="14" customFormat="false" ht="15" hidden="false" customHeight="true" outlineLevel="0" collapsed="false">
      <c r="A14" s="6" t="s">
        <v>100</v>
      </c>
      <c r="B14" s="6" t="s">
        <v>101</v>
      </c>
      <c r="C14" s="6" t="s">
        <v>103</v>
      </c>
      <c r="D14" s="6" t="n">
        <f aca="false">COUNTIFS(Versandmatrix!$A$2:$A$48,$A14,Versandmatrix!$G$2:$G$48,"Ja")</f>
        <v>1</v>
      </c>
      <c r="E14" s="7"/>
    </row>
    <row r="15" customFormat="false" ht="15" hidden="false" customHeight="true" outlineLevel="0" collapsed="false">
      <c r="A15" s="6" t="s">
        <v>104</v>
      </c>
      <c r="B15" s="6" t="s">
        <v>101</v>
      </c>
      <c r="C15" s="6" t="s">
        <v>105</v>
      </c>
      <c r="D15" s="6" t="n">
        <f aca="false">COUNTIFS(Versandmatrix!$A$2:$A$48,$A15,Versandmatrix!$G$2:$G$48,"Ja")</f>
        <v>1</v>
      </c>
      <c r="E15" s="7"/>
    </row>
    <row r="16" customFormat="false" ht="15" hidden="false" customHeight="true" outlineLevel="0" collapsed="false">
      <c r="A16" s="6" t="s">
        <v>107</v>
      </c>
      <c r="B16" s="6" t="s">
        <v>108</v>
      </c>
      <c r="C16" s="6" t="s">
        <v>110</v>
      </c>
      <c r="D16" s="6" t="n">
        <f aca="false">COUNTIFS(Versandmatrix!$A$2:$A$48,$A16,Versandmatrix!$G$2:$G$48,"Ja")</f>
        <v>3</v>
      </c>
      <c r="E16" s="7"/>
    </row>
    <row r="17" customFormat="false" ht="15" hidden="false" customHeight="true" outlineLevel="0" collapsed="false">
      <c r="A17" s="6" t="s">
        <v>115</v>
      </c>
      <c r="B17" s="6" t="s">
        <v>108</v>
      </c>
      <c r="C17" s="6" t="s">
        <v>116</v>
      </c>
      <c r="D17" s="6" t="n">
        <f aca="false">COUNTIFS(Versandmatrix!$A$2:$A$48,$A17,Versandmatrix!$G$2:$G$48,"Ja")</f>
        <v>5</v>
      </c>
      <c r="E17" s="7"/>
    </row>
    <row r="18" customFormat="false" ht="15" hidden="false" customHeight="true" outlineLevel="0" collapsed="false">
      <c r="A18" s="6" t="s">
        <v>126</v>
      </c>
      <c r="B18" s="6" t="s">
        <v>108</v>
      </c>
      <c r="C18" s="6" t="s">
        <v>127</v>
      </c>
      <c r="D18" s="6" t="n">
        <f aca="false">COUNTIFS(Versandmatrix!$A$2:$A$48,$A18,Versandmatrix!$G$2:$G$48,"Ja")</f>
        <v>2</v>
      </c>
      <c r="E18" s="7"/>
    </row>
    <row r="20" customFormat="false" ht="15" hidden="false" customHeight="true" outlineLevel="0" collapsed="false">
      <c r="A20" s="8" t="s">
        <v>136</v>
      </c>
      <c r="B20" s="8" t="n">
        <f aca="false">COUNTA($A$2:$A$18)</f>
        <v>17</v>
      </c>
      <c r="C20" s="8"/>
      <c r="D20" s="8" t="n">
        <f aca="false">SUM($D$2:$D$18)</f>
        <v>47</v>
      </c>
      <c r="E20" s="8"/>
    </row>
    <row r="22" customFormat="false" ht="15" hidden="false" customHeight="true" outlineLevel="0" collapsed="false">
      <c r="A22" s="9" t="s">
        <v>137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46"/>
    <col collapsed="false" customWidth="true" hidden="false" outlineLevel="0" max="4" min="3" style="1" width="22"/>
  </cols>
  <sheetData>
    <row r="1" customFormat="false" ht="15" hidden="false" customHeight="true" outlineLevel="0" collapsed="false">
      <c r="A1" s="5" t="s">
        <v>138</v>
      </c>
      <c r="B1" s="5" t="s">
        <v>139</v>
      </c>
      <c r="C1" s="5" t="s">
        <v>140</v>
      </c>
      <c r="D1" s="5" t="s">
        <v>141</v>
      </c>
    </row>
    <row r="2" customFormat="false" ht="15" hidden="false" customHeight="true" outlineLevel="0" collapsed="false">
      <c r="A2" s="6" t="s">
        <v>142</v>
      </c>
      <c r="B2" s="6" t="s">
        <v>143</v>
      </c>
      <c r="C2" s="6" t="s">
        <v>144</v>
      </c>
      <c r="D2" s="6" t="s">
        <v>145</v>
      </c>
    </row>
    <row r="3" customFormat="false" ht="15" hidden="false" customHeight="true" outlineLevel="0" collapsed="false">
      <c r="A3" s="6" t="s">
        <v>146</v>
      </c>
      <c r="B3" s="6" t="s">
        <v>147</v>
      </c>
      <c r="C3" s="6" t="s">
        <v>148</v>
      </c>
      <c r="D3" s="6" t="s">
        <v>148</v>
      </c>
    </row>
    <row r="4" customFormat="false" ht="15" hidden="false" customHeight="true" outlineLevel="0" collapsed="false">
      <c r="A4" s="6" t="s">
        <v>149</v>
      </c>
      <c r="B4" s="6" t="s">
        <v>150</v>
      </c>
      <c r="C4" s="6" t="s">
        <v>151</v>
      </c>
      <c r="D4" s="6" t="s">
        <v>152</v>
      </c>
    </row>
    <row r="5" customFormat="false" ht="15" hidden="false" customHeight="true" outlineLevel="0" collapsed="false">
      <c r="A5" s="6" t="s">
        <v>153</v>
      </c>
      <c r="B5" s="6" t="s">
        <v>154</v>
      </c>
      <c r="C5" s="6" t="s">
        <v>155</v>
      </c>
      <c r="D5" s="6" t="s">
        <v>156</v>
      </c>
    </row>
    <row r="6" customFormat="false" ht="15" hidden="false" customHeight="true" outlineLevel="0" collapsed="false">
      <c r="A6" s="6" t="s">
        <v>157</v>
      </c>
      <c r="B6" s="6" t="s">
        <v>158</v>
      </c>
      <c r="C6" s="6" t="s">
        <v>159</v>
      </c>
      <c r="D6" s="6" t="s">
        <v>160</v>
      </c>
    </row>
    <row r="7" customFormat="false" ht="15" hidden="false" customHeight="true" outlineLevel="0" collapsed="false">
      <c r="A7" s="9"/>
    </row>
    <row r="8" customFormat="false" ht="15" hidden="false" customHeight="true" outlineLevel="0" collapsed="false">
      <c r="A8" s="9" t="s">
        <v>161</v>
      </c>
    </row>
    <row r="9" customFormat="false" ht="15" hidden="false" customHeight="true" outlineLevel="0" collapsed="false">
      <c r="A9" s="9" t="s">
        <v>162</v>
      </c>
    </row>
    <row r="10" customFormat="false" ht="15" hidden="false" customHeight="true" outlineLevel="0" collapsed="false">
      <c r="A10" s="9" t="s">
        <v>163</v>
      </c>
    </row>
    <row r="11" customFormat="false" ht="15" hidden="false" customHeight="true" outlineLevel="0" collapsed="false">
      <c r="A11" s="9" t="s">
        <v>164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96"/>
    <col collapsed="false" customWidth="true" hidden="false" outlineLevel="0" max="3" min="3" style="1" width="12"/>
  </cols>
  <sheetData>
    <row r="1" customFormat="false" ht="15" hidden="false" customHeight="true" outlineLevel="0" collapsed="false">
      <c r="A1" s="5" t="s">
        <v>165</v>
      </c>
      <c r="B1" s="5" t="s">
        <v>166</v>
      </c>
      <c r="C1" s="5" t="s">
        <v>167</v>
      </c>
    </row>
    <row r="2" customFormat="false" ht="15" hidden="false" customHeight="true" outlineLevel="0" collapsed="false">
      <c r="A2" s="4" t="s">
        <v>168</v>
      </c>
      <c r="B2" s="4" t="s">
        <v>169</v>
      </c>
      <c r="C2" s="4" t="s">
        <v>170</v>
      </c>
    </row>
    <row r="3" customFormat="false" ht="15" hidden="false" customHeight="true" outlineLevel="0" collapsed="false">
      <c r="A3" s="4" t="s">
        <v>168</v>
      </c>
      <c r="B3" s="4" t="s">
        <v>171</v>
      </c>
      <c r="C3" s="4" t="s">
        <v>170</v>
      </c>
    </row>
    <row r="4" customFormat="false" ht="15" hidden="false" customHeight="true" outlineLevel="0" collapsed="false">
      <c r="A4" s="4" t="s">
        <v>168</v>
      </c>
      <c r="B4" s="4" t="s">
        <v>172</v>
      </c>
      <c r="C4" s="4" t="s">
        <v>170</v>
      </c>
    </row>
    <row r="5" customFormat="false" ht="15" hidden="false" customHeight="true" outlineLevel="0" collapsed="false">
      <c r="A5" s="4" t="s">
        <v>168</v>
      </c>
      <c r="B5" s="4" t="s">
        <v>173</v>
      </c>
      <c r="C5" s="4" t="s">
        <v>170</v>
      </c>
    </row>
    <row r="6" customFormat="false" ht="15" hidden="false" customHeight="true" outlineLevel="0" collapsed="false">
      <c r="A6" s="4" t="s">
        <v>168</v>
      </c>
      <c r="B6" s="4" t="s">
        <v>174</v>
      </c>
      <c r="C6" s="4" t="s">
        <v>170</v>
      </c>
    </row>
    <row r="7" customFormat="false" ht="23.25" hidden="false" customHeight="true" outlineLevel="0" collapsed="false">
      <c r="A7" s="4" t="s">
        <v>168</v>
      </c>
      <c r="B7" s="4" t="s">
        <v>175</v>
      </c>
      <c r="C7" s="4" t="s">
        <v>170</v>
      </c>
    </row>
    <row r="8" customFormat="false" ht="15" hidden="false" customHeight="true" outlineLevel="0" collapsed="false">
      <c r="A8" s="4" t="s">
        <v>176</v>
      </c>
      <c r="B8" s="4" t="s">
        <v>177</v>
      </c>
      <c r="C8" s="4" t="s">
        <v>170</v>
      </c>
    </row>
    <row r="9" customFormat="false" ht="23.25" hidden="false" customHeight="true" outlineLevel="0" collapsed="false">
      <c r="A9" s="4" t="s">
        <v>178</v>
      </c>
      <c r="B9" s="4" t="s">
        <v>179</v>
      </c>
      <c r="C9" s="4" t="s">
        <v>170</v>
      </c>
    </row>
    <row r="10" customFormat="false" ht="15" hidden="false" customHeight="true" outlineLevel="0" collapsed="false">
      <c r="A10" s="4" t="s">
        <v>178</v>
      </c>
      <c r="B10" s="4" t="s">
        <v>180</v>
      </c>
      <c r="C10" s="4" t="s">
        <v>170</v>
      </c>
    </row>
    <row r="11" customFormat="false" ht="15" hidden="false" customHeight="true" outlineLevel="0" collapsed="false">
      <c r="A11" s="4" t="s">
        <v>181</v>
      </c>
      <c r="B11" s="4" t="s">
        <v>182</v>
      </c>
      <c r="C11" s="4" t="s">
        <v>170</v>
      </c>
    </row>
    <row r="12" customFormat="false" ht="15" hidden="false" customHeight="true" outlineLevel="0" collapsed="false">
      <c r="A12" s="4" t="s">
        <v>183</v>
      </c>
      <c r="B12" s="4" t="s">
        <v>184</v>
      </c>
      <c r="C12" s="4" t="s">
        <v>170</v>
      </c>
    </row>
    <row r="13" customFormat="false" ht="15" hidden="false" customHeight="true" outlineLevel="0" collapsed="false">
      <c r="A13" s="4" t="s">
        <v>185</v>
      </c>
      <c r="B13" s="4" t="s">
        <v>186</v>
      </c>
      <c r="C13" s="4" t="s">
        <v>170</v>
      </c>
    </row>
    <row r="14" customFormat="false" ht="15" hidden="false" customHeight="true" outlineLevel="0" collapsed="false">
      <c r="A14" s="4" t="s">
        <v>187</v>
      </c>
      <c r="B14" s="4" t="s">
        <v>188</v>
      </c>
      <c r="C14" s="4" t="s">
        <v>170</v>
      </c>
    </row>
    <row r="15" customFormat="false" ht="15" hidden="false" customHeight="true" outlineLevel="0" collapsed="false">
      <c r="A15" s="4" t="s">
        <v>189</v>
      </c>
      <c r="B15" s="4" t="s">
        <v>190</v>
      </c>
      <c r="C15" s="4" t="s">
        <v>191</v>
      </c>
    </row>
    <row r="16" customFormat="false" ht="23.25" hidden="false" customHeight="true" outlineLevel="0" collapsed="false">
      <c r="A16" s="4" t="s">
        <v>192</v>
      </c>
      <c r="B16" s="4" t="s">
        <v>193</v>
      </c>
      <c r="C16" s="4" t="s">
        <v>191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2026-09-07T08:42:03Z</dcterms:created>
  <dc:creator>openpyxl</dc:creator>
  <dc:description/>
  <dc:language>en-US</dc:language>
  <cp:lastModifiedBy/>
  <dcterms:modified xsi:type="dcterms:W3CDTF">2026-09-07T08:42:15Z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